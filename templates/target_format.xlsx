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15" windowHeight="19800"/>
  </bookViews>
  <sheets>
    <sheet name="辅料" sheetId="5" r:id="rId1"/>
    <sheet name="Sheet1" sheetId="4" r:id="rId2"/>
  </sheets>
  <definedNames>
    <definedName name="_xlnm.Print_Area" localSheetId="0">辅料!$A$1:$M$21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<sst xmlns="http://schemas.openxmlformats.org/spreadsheetml/2006/main" count="58" uniqueCount="55">
  <si>
    <t>嘉善凯翔服饰有限公司订料单</t>
  </si>
  <si>
    <t>地址：嘉善县惠民街道闽江路8号8幢</t>
  </si>
  <si>
    <t>电话：0573-84129933</t>
  </si>
  <si>
    <t>订料日期：</t>
  </si>
  <si>
    <t>2026.2.06</t>
  </si>
  <si>
    <t>供应商</t>
  </si>
  <si>
    <t>上海伟星</t>
  </si>
  <si>
    <t>收货人</t>
  </si>
  <si>
    <t>任大鹏</t>
  </si>
  <si>
    <t>联系人</t>
  </si>
  <si>
    <t>电  话</t>
  </si>
  <si>
    <t>交货期</t>
  </si>
  <si>
    <t>传  真</t>
  </si>
  <si>
    <t>交货地点</t>
  </si>
  <si>
    <t>山东省威海市环翠区温泉镇昱威路266号</t>
  </si>
  <si>
    <t>FS 大货</t>
  </si>
  <si>
    <t>款号</t>
  </si>
  <si>
    <t>品名</t>
  </si>
  <si>
    <t>客户编号</t>
  </si>
  <si>
    <t>颜色</t>
  </si>
  <si>
    <t>成品数</t>
  </si>
  <si>
    <t>规格cm</t>
  </si>
  <si>
    <t>单耗</t>
  </si>
  <si>
    <t>单位</t>
  </si>
  <si>
    <t>总订料数</t>
  </si>
  <si>
    <t>产前样数量</t>
  </si>
  <si>
    <t>单价</t>
  </si>
  <si>
    <t>金额</t>
  </si>
  <si>
    <t>备注</t>
  </si>
  <si>
    <t>印绣花性质</t>
  </si>
  <si>
    <t>印绣花温度</t>
  </si>
  <si>
    <t>功能性吊牌</t>
  </si>
  <si>
    <t>密度</t>
  </si>
  <si>
    <t>成份</t>
  </si>
  <si>
    <t>纱支</t>
  </si>
  <si>
    <t>克重</t>
  </si>
  <si>
    <t>报价备注</t>
  </si>
  <si>
    <t>材料配套需求期</t>
  </si>
  <si>
    <t>面料厂回复交期</t>
  </si>
  <si>
    <t>到料数量</t>
  </si>
  <si>
    <t>到料日期</t>
  </si>
  <si>
    <t>差异</t>
  </si>
  <si>
    <t>80201</t>
  </si>
  <si>
    <t>铁圈</t>
  </si>
  <si>
    <t>FSM-RING-1</t>
  </si>
  <si>
    <t>喷漆亮黑</t>
  </si>
  <si>
    <t>2.2CM</t>
  </si>
  <si>
    <t>个</t>
  </si>
  <si>
    <t>起订量5千套每色每规格，达不到起订量，收取小批量费177元每色每规格</t>
  </si>
  <si>
    <t>滚镀银</t>
  </si>
  <si>
    <t>出口欧盟标准 不能含氟化物</t>
  </si>
  <si>
    <t>注：</t>
  </si>
  <si>
    <t>1.供货产品须按我公司确认的颜色及品质生产大货；</t>
  </si>
  <si>
    <t>2.货到后10日内如有数量、品质异议，供应商须退货或换货；</t>
  </si>
  <si>
    <t>3.交货次月10号前请及时对账，并开具13%增值税专用发票，以免影响付款。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</si>
</sst>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&quot;#&quot;"/>
    <numFmt numFmtId="178" formatCode="0.00_);[Red]\(0.00\)"/>
    <numFmt numFmtId="179" formatCode="0_ "/>
    <numFmt numFmtId="180" formatCode="0.00_ "/>
  </numFmts>
  <fonts count="35">
    <font>
      <sz val="11"/>
      <color theme="1"/>
      <name val="等线"/>
      <charset val="134"/>
      <scheme val="minor"/>
    </font>
    <font>
      <b/>
      <sz val="24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name val="宋体"/>
      <charset val="134"/>
    </font>
    <font>
      <sz val="9"/>
      <name val="Arial"/>
      <charset val="134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31" applyNumberFormat="0" applyAlignment="0" applyProtection="0">
      <alignment vertical="center"/>
    </xf>
    <xf numFmtId="0" fontId="23" fillId="6" borderId="32" applyNumberFormat="0" applyAlignment="0" applyProtection="0">
      <alignment vertical="center"/>
    </xf>
    <xf numFmtId="0" fontId="24" fillId="6" borderId="31" applyNumberFormat="0" applyAlignment="0" applyProtection="0">
      <alignment vertical="center"/>
    </xf>
    <xf numFmtId="0" fontId="25" fillId="7" borderId="33" applyNumberFormat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>
      <alignment vertical="center"/>
    </xf>
    <xf numFmtId="0" fontId="34" fillId="0" borderId="0"/>
  </cellStyleXfs>
  <cellXfs count="9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2" borderId="0" xfId="0" applyFill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vertical="center"/>
    </xf>
    <xf numFmtId="176" fontId="4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58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6" fillId="2" borderId="21" xfId="0" applyNumberFormat="1" applyFont="1" applyFill="1" applyBorder="1" applyAlignment="1">
      <alignment horizontal="center" vertical="center"/>
    </xf>
    <xf numFmtId="0" fontId="7" fillId="2" borderId="22" xfId="50" applyFont="1" applyFill="1" applyBorder="1" applyAlignment="1">
      <alignment horizontal="center" vertical="center" wrapText="1"/>
    </xf>
    <xf numFmtId="0" fontId="8" fillId="2" borderId="22" xfId="50" applyFont="1" applyFill="1" applyBorder="1" applyAlignment="1">
      <alignment horizontal="center" vertical="center" wrapText="1"/>
    </xf>
    <xf numFmtId="0" fontId="4" fillId="2" borderId="14" xfId="5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77" fontId="8" fillId="2" borderId="14" xfId="50" applyNumberFormat="1" applyFont="1" applyFill="1" applyBorder="1" applyAlignment="1">
      <alignment horizontal="center" vertical="center" wrapText="1"/>
    </xf>
    <xf numFmtId="1" fontId="6" fillId="2" borderId="14" xfId="0" applyNumberFormat="1" applyFont="1" applyFill="1" applyBorder="1" applyAlignment="1">
      <alignment horizontal="center" vertical="center" wrapText="1"/>
    </xf>
    <xf numFmtId="8" fontId="0" fillId="0" borderId="14" xfId="0" applyNumberFormat="1" applyBorder="1" applyAlignment="1">
      <alignment horizontal="center" vertical="center" wrapText="1"/>
    </xf>
    <xf numFmtId="178" fontId="6" fillId="2" borderId="23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7" fillId="2" borderId="24" xfId="50" applyFont="1" applyFill="1" applyBorder="1" applyAlignment="1">
      <alignment horizontal="center" vertical="center" wrapText="1"/>
    </xf>
    <xf numFmtId="0" fontId="8" fillId="2" borderId="24" xfId="5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49" fontId="6" fillId="2" borderId="13" xfId="0" applyNumberFormat="1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9" fillId="2" borderId="14" xfId="50" applyFont="1" applyFill="1" applyBorder="1" applyAlignment="1">
      <alignment vertical="center" wrapText="1"/>
    </xf>
    <xf numFmtId="0" fontId="4" fillId="2" borderId="14" xfId="50" applyFont="1" applyFill="1" applyBorder="1" applyAlignment="1">
      <alignment vertical="center" wrapText="1"/>
    </xf>
    <xf numFmtId="0" fontId="0" fillId="0" borderId="14" xfId="0" applyBorder="1" applyAlignment="1">
      <alignment vertical="center"/>
    </xf>
    <xf numFmtId="1" fontId="6" fillId="2" borderId="14" xfId="0" applyNumberFormat="1" applyFont="1" applyFill="1" applyBorder="1" applyAlignment="1">
      <alignment vertical="center" wrapText="1"/>
    </xf>
    <xf numFmtId="178" fontId="6" fillId="2" borderId="11" xfId="0" applyNumberFormat="1" applyFont="1" applyFill="1" applyBorder="1" applyAlignment="1">
      <alignment vertical="center" wrapText="1"/>
    </xf>
    <xf numFmtId="49" fontId="10" fillId="3" borderId="13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1" fillId="3" borderId="14" xfId="50" applyFont="1" applyFill="1" applyBorder="1" applyAlignment="1">
      <alignment horizontal="center" vertical="center" wrapText="1"/>
    </xf>
    <xf numFmtId="0" fontId="12" fillId="3" borderId="14" xfId="50" applyFont="1" applyFill="1" applyBorder="1" applyAlignment="1">
      <alignment horizontal="center" vertical="center" wrapText="1"/>
    </xf>
    <xf numFmtId="179" fontId="10" fillId="3" borderId="14" xfId="0" applyNumberFormat="1" applyFont="1" applyFill="1" applyBorder="1" applyAlignment="1">
      <alignment horizontal="center" vertical="center" wrapText="1"/>
    </xf>
    <xf numFmtId="180" fontId="10" fillId="3" borderId="14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0" borderId="0" xfId="0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一般_Acc.card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46"/>
  <sheetViews>
    <sheetView tabSelected="1" zoomScale="106" zoomScaleNormal="106" workbookViewId="0">
      <selection activeCell="C33" sqref="C33"/>
    </sheetView>
  </sheetViews>
  <sheetFormatPr defaultColWidth="9" defaultRowHeight="14.25"/>
  <cols>
    <col min="1" max="1" width="7.125" customWidth="1"/>
    <col min="2" max="2" width="13.675" customWidth="1"/>
    <col min="3" max="3" width="9.375" customWidth="1"/>
    <col min="4" max="4" width="29.475" customWidth="1"/>
    <col min="5" max="5" width="8.125" customWidth="1"/>
    <col min="6" max="6" width="11.625" customWidth="1"/>
    <col min="7" max="7" width="6.25" customWidth="1"/>
    <col min="8" max="8" width="4.625" customWidth="1"/>
    <col min="9" max="9" width="8.5" customWidth="1"/>
    <col min="10" max="10" width="8.75" customWidth="1"/>
    <col min="11" max="11" width="14.975" customWidth="1"/>
    <col min="12" max="12" width="15.325" customWidth="1"/>
    <col min="13" max="13" width="31.625" customWidth="1"/>
    <col min="14" max="14" width="16.125" customWidth="1"/>
    <col min="15" max="29" width="9" hidden="1" customWidth="1"/>
    <col min="30" max="30" width="12.625"/>
    <col min="32" max="32" width="12.625"/>
  </cols>
  <sheetData>
    <row r="1" s="1" customFormat="1" ht="19" customHeight="1" spans="1:32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6"/>
      <c r="O1" s="7"/>
    </row>
    <row r="2" s="1" customFormat="1" ht="19" customHeight="1" spans="1:32">
      <c r="A2" s="8"/>
      <c r="B2" s="9"/>
      <c r="C2" s="9"/>
      <c r="D2" s="9"/>
      <c r="E2" s="9"/>
      <c r="F2" s="9"/>
      <c r="G2" s="9"/>
      <c r="H2" s="9"/>
      <c r="I2" s="9"/>
      <c r="J2"/>
      <c r="K2"/>
      <c r="L2"/>
      <c r="M2" s="10"/>
    </row>
    <row r="3" s="1" customFormat="1" spans="1:32">
      <c r="A3" s="11"/>
      <c r="B3" s="12" t="s">
        <v>1</v>
      </c>
      <c r="C3" s="12"/>
      <c r="D3" s="12"/>
      <c r="E3" s="12"/>
      <c r="F3" s="12"/>
      <c r="G3" s="12"/>
      <c r="H3" s="12"/>
      <c r="J3"/>
      <c r="K3"/>
      <c r="L3"/>
      <c r="M3" s="10"/>
    </row>
    <row r="4" s="1" customFormat="1" spans="1:32">
      <c r="A4" s="11"/>
      <c r="B4" s="13" t="s">
        <v>2</v>
      </c>
      <c r="C4" s="13"/>
      <c r="D4" s="13"/>
      <c r="E4" s="13"/>
      <c r="F4" s="13"/>
      <c r="G4" s="13"/>
      <c r="H4" s="13"/>
      <c r="J4"/>
      <c r="K4"/>
      <c r="L4"/>
      <c r="M4" s="10"/>
    </row>
    <row r="5" s="1" customFormat="1" ht="15" spans="1:32">
      <c r="A5" s="14"/>
      <c r="B5" s="15"/>
      <c r="C5" s="16"/>
      <c r="D5" s="15"/>
      <c r="E5" s="15"/>
      <c r="F5" s="15"/>
      <c r="G5" s="15"/>
      <c r="H5" s="15"/>
      <c r="I5" s="15"/>
      <c r="J5" s="17" t="s">
        <v>3</v>
      </c>
      <c r="K5" s="18" t="s">
        <v>4</v>
      </c>
      <c r="L5" s="19"/>
      <c r="M5" s="20"/>
    </row>
    <row r="6" s="1" customFormat="1" ht="15.75" spans="1:32">
      <c r="A6" s="21" t="s">
        <v>5</v>
      </c>
      <c r="B6" s="22"/>
      <c r="C6" s="23" t="s">
        <v>6</v>
      </c>
      <c r="D6" s="23"/>
      <c r="E6" s="23"/>
      <c r="F6" s="22" t="s">
        <v>7</v>
      </c>
      <c r="G6" s="22"/>
      <c r="H6" s="22"/>
      <c r="I6" s="24" t="s">
        <v>8</v>
      </c>
      <c r="J6" s="24"/>
      <c r="K6" s="24"/>
      <c r="L6" s="25"/>
      <c r="M6" s="26"/>
    </row>
    <row r="7" s="1" customFormat="1" spans="1:32">
      <c r="A7" s="27" t="s">
        <v>9</v>
      </c>
      <c r="B7" s="28"/>
      <c r="C7" s="29"/>
      <c r="D7" s="30"/>
      <c r="E7" s="30"/>
      <c r="F7" s="28" t="s">
        <v>10</v>
      </c>
      <c r="G7" s="28"/>
      <c r="H7" s="28"/>
      <c r="I7" s="30">
        <v>15588413385</v>
      </c>
      <c r="J7" s="30"/>
      <c r="K7" s="30"/>
      <c r="L7" s="31"/>
      <c r="M7" s="32"/>
    </row>
    <row r="8" s="1" customFormat="1" spans="1:32">
      <c r="A8" s="27" t="s">
        <v>10</v>
      </c>
      <c r="B8" s="28"/>
      <c r="C8" s="29"/>
      <c r="D8" s="30"/>
      <c r="E8" s="30"/>
      <c r="F8" s="28" t="s">
        <v>11</v>
      </c>
      <c r="G8" s="28"/>
      <c r="H8" s="28"/>
      <c r="I8" s="33">
        <v>46101</v>
      </c>
      <c r="J8" s="34"/>
      <c r="K8" s="34"/>
      <c r="L8" s="35"/>
      <c r="M8" s="36"/>
    </row>
    <row r="9" s="1" customFormat="1" ht="15" spans="1:32">
      <c r="A9" s="37" t="s">
        <v>12</v>
      </c>
      <c r="B9" s="38"/>
      <c r="C9" s="39"/>
      <c r="D9" s="40"/>
      <c r="E9" s="40"/>
      <c r="F9" s="38" t="s">
        <v>13</v>
      </c>
      <c r="G9" s="38"/>
      <c r="H9" s="38"/>
      <c r="I9" s="40" t="s">
        <v>14</v>
      </c>
      <c r="J9" s="40"/>
      <c r="K9" s="40"/>
      <c r="L9" s="41"/>
      <c r="M9" s="42"/>
    </row>
    <row r="10" s="1" customFormat="1" ht="15.75" spans="1:32">
      <c r="A10" s="43" t="s">
        <v>15</v>
      </c>
      <c r="B10" s="44"/>
      <c r="C10" s="12"/>
      <c r="D10" s="45"/>
      <c r="E10" s="45"/>
      <c r="F10" s="45"/>
      <c r="I10" s="45"/>
      <c r="J10" s="45"/>
      <c r="K10" s="45"/>
      <c r="L10" s="45"/>
      <c r="M10" s="46"/>
    </row>
    <row r="11" s="2" customFormat="1" ht="28.5" spans="1:32">
      <c r="A11" s="21" t="s">
        <v>16</v>
      </c>
      <c r="B11" s="47" t="s">
        <v>17</v>
      </c>
      <c r="C11" s="48" t="s">
        <v>18</v>
      </c>
      <c r="D11" s="47" t="s">
        <v>19</v>
      </c>
      <c r="E11" s="47" t="s">
        <v>20</v>
      </c>
      <c r="F11" s="47" t="s">
        <v>21</v>
      </c>
      <c r="G11" s="47" t="s">
        <v>22</v>
      </c>
      <c r="H11" s="47" t="s">
        <v>23</v>
      </c>
      <c r="I11" s="47" t="s">
        <v>24</v>
      </c>
      <c r="J11" s="49" t="s">
        <v>25</v>
      </c>
      <c r="K11" s="47" t="s">
        <v>26</v>
      </c>
      <c r="L11" s="47" t="s">
        <v>27</v>
      </c>
      <c r="M11" s="50" t="s">
        <v>28</v>
      </c>
      <c r="O11" s="2" t="s">
        <v>29</v>
      </c>
      <c r="P11" s="2" t="s">
        <v>30</v>
      </c>
      <c r="Q11" s="2" t="s">
        <v>31</v>
      </c>
      <c r="R11" s="2" t="s">
        <v>32</v>
      </c>
      <c r="S11" s="2" t="s">
        <v>33</v>
      </c>
      <c r="T11" s="2" t="s">
        <v>34</v>
      </c>
      <c r="U11" s="2" t="s">
        <v>35</v>
      </c>
      <c r="V11" s="2" t="s">
        <v>36</v>
      </c>
      <c r="W11" s="2" t="s">
        <v>37</v>
      </c>
      <c r="X11" s="2" t="s">
        <v>38</v>
      </c>
      <c r="Y11" s="2" t="s">
        <v>39</v>
      </c>
      <c r="Z11" s="2" t="s">
        <v>40</v>
      </c>
      <c r="AA11" s="2" t="s">
        <v>41</v>
      </c>
    </row>
    <row r="12" customFormat="1" ht="20" customHeight="1" spans="1:32">
      <c r="A12" s="51" t="s">
        <v>42</v>
      </c>
      <c r="B12" s="52" t="s">
        <v>43</v>
      </c>
      <c r="C12" s="53" t="s">
        <v>44</v>
      </c>
      <c r="D12" s="54" t="s">
        <v>45</v>
      </c>
      <c r="E12" s="55">
        <v>310</v>
      </c>
      <c r="F12" s="56" t="s">
        <v>46</v>
      </c>
      <c r="G12" s="55">
        <v>1</v>
      </c>
      <c r="H12" s="55" t="s">
        <v>47</v>
      </c>
      <c r="I12" s="57">
        <f>E12*G12*1.02</f>
        <v>316.2</v>
      </c>
      <c r="J12" s="57">
        <v>10</v>
      </c>
      <c r="K12" s="58">
        <v>1.1</v>
      </c>
      <c r="L12" s="59">
        <f>K12*I12</f>
        <v>347.82</v>
      </c>
      <c r="M12" s="60" t="s">
        <v>48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1" ht="20" customHeight="1" spans="1:32">
      <c r="A13" s="51"/>
      <c r="B13" s="61"/>
      <c r="C13" s="62"/>
      <c r="D13" s="54" t="s">
        <v>49</v>
      </c>
      <c r="E13" s="55">
        <v>710</v>
      </c>
      <c r="F13" s="56" t="s">
        <v>46</v>
      </c>
      <c r="G13" s="55">
        <v>1</v>
      </c>
      <c r="H13" s="55" t="s">
        <v>47</v>
      </c>
      <c r="I13" s="57">
        <f>E13*G13*1.02</f>
        <v>724.2</v>
      </c>
      <c r="J13" s="57">
        <v>10</v>
      </c>
      <c r="K13" s="58">
        <v>1.07</v>
      </c>
      <c r="L13" s="59">
        <f>K13*I13</f>
        <v>774.894</v>
      </c>
      <c r="M13" s="6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0" customHeight="1" spans="1:32">
      <c r="A14" s="64"/>
      <c r="B14" s="65"/>
      <c r="C14" s="66"/>
      <c r="D14" s="67"/>
      <c r="E14" s="68"/>
      <c r="F14" s="65"/>
      <c r="G14" s="68"/>
      <c r="H14" s="68"/>
      <c r="I14" s="69"/>
      <c r="J14" s="65"/>
      <c r="K14" s="65"/>
      <c r="L14" s="70"/>
      <c r="M14" s="6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>
      <c r="A15" s="71"/>
      <c r="B15" s="72"/>
      <c r="C15" s="73"/>
      <c r="D15" s="74"/>
      <c r="E15" s="72"/>
      <c r="F15" s="72"/>
      <c r="G15" s="72"/>
      <c r="H15" s="72"/>
      <c r="I15" s="75"/>
      <c r="J15" s="76"/>
      <c r="K15" s="72"/>
      <c r="L15" s="72">
        <f>SUM(L12:L13,354)</f>
        <v>1476.714</v>
      </c>
      <c r="M15" s="77"/>
      <c r="N15" s="1"/>
    </row>
    <row r="16" ht="16.5" spans="1:32">
      <c r="A16" s="78" t="s">
        <v>50</v>
      </c>
      <c r="B16" s="79"/>
      <c r="C16" s="80"/>
      <c r="D16" s="79"/>
      <c r="E16" s="79"/>
      <c r="F16" s="79"/>
      <c r="G16" s="79"/>
      <c r="H16" s="79"/>
      <c r="I16" s="79"/>
      <c r="J16" s="79"/>
      <c r="K16" s="79"/>
      <c r="L16" s="79"/>
      <c r="M16" s="81"/>
      <c r="N16" s="1"/>
    </row>
    <row r="17" spans="1:14">
      <c r="A17" s="82" t="s">
        <v>51</v>
      </c>
      <c r="B17" s="83" t="s">
        <v>52</v>
      </c>
      <c r="C17" s="84"/>
      <c r="D17" s="83"/>
      <c r="E17" s="83"/>
      <c r="F17" s="83"/>
      <c r="G17" s="83"/>
      <c r="H17" s="83"/>
      <c r="I17" s="83"/>
      <c r="J17" s="83"/>
      <c r="K17" s="83"/>
      <c r="L17" s="83"/>
      <c r="M17" s="85"/>
      <c r="N17" s="1"/>
    </row>
    <row r="18" spans="1:14">
      <c r="A18" s="86"/>
      <c r="B18" s="87" t="s">
        <v>53</v>
      </c>
      <c r="C18" s="88"/>
      <c r="D18" s="87"/>
      <c r="E18" s="87"/>
      <c r="F18" s="87"/>
      <c r="G18" s="87"/>
      <c r="H18" s="87"/>
      <c r="I18" s="87"/>
      <c r="J18" s="87"/>
      <c r="K18" s="87"/>
      <c r="L18" s="87"/>
      <c r="M18" s="89"/>
      <c r="N18" s="1"/>
    </row>
    <row r="19" ht="15" spans="1:14">
      <c r="A19" s="90"/>
      <c r="B19" s="91" t="s">
        <v>54</v>
      </c>
      <c r="C19" s="92"/>
      <c r="D19" s="91"/>
      <c r="E19" s="91"/>
      <c r="F19" s="91"/>
      <c r="G19" s="91"/>
      <c r="H19" s="91"/>
      <c r="I19" s="91"/>
      <c r="J19" s="91"/>
      <c r="K19" s="91"/>
      <c r="L19" s="91"/>
      <c r="M19" s="93"/>
      <c r="N19" s="1"/>
    </row>
    <row r="20" ht="15" spans="1:14">
      <c r="A20" s="94"/>
      <c r="B20" s="95"/>
      <c r="C20" s="96"/>
      <c r="D20" s="95"/>
      <c r="E20" s="95"/>
      <c r="F20" s="95"/>
      <c r="G20" s="95"/>
      <c r="H20" s="95"/>
      <c r="I20" s="95"/>
      <c r="J20" s="95"/>
      <c r="K20" s="95"/>
      <c r="L20" s="95"/>
      <c r="M20" s="97"/>
      <c r="N20" s="1"/>
    </row>
    <row r="21" spans="1:14">
      <c r="A21" s="1"/>
      <c r="B21" s="1"/>
      <c r="C21" s="9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9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9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9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9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9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9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9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9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9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9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9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9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9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9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9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9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9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9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9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9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9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9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9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9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9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mergeCells count="25">
    <mergeCell ref="B3:H3"/>
    <mergeCell ref="B4:H4"/>
    <mergeCell ref="K5:M5"/>
    <mergeCell ref="A6:B6"/>
    <mergeCell ref="C6:E6"/>
    <mergeCell ref="F6:H6"/>
    <mergeCell ref="I6:M6"/>
    <mergeCell ref="A7:B7"/>
    <mergeCell ref="C7:E7"/>
    <mergeCell ref="F7:H7"/>
    <mergeCell ref="I7:M7"/>
    <mergeCell ref="A8:B8"/>
    <mergeCell ref="C8:E8"/>
    <mergeCell ref="F8:H8"/>
    <mergeCell ref="I8:M8"/>
    <mergeCell ref="A9:B9"/>
    <mergeCell ref="C9:E9"/>
    <mergeCell ref="F9:H9"/>
    <mergeCell ref="I9:M9"/>
    <mergeCell ref="A10:C10"/>
    <mergeCell ref="A16:M16"/>
    <mergeCell ref="A12:A13"/>
    <mergeCell ref="B12:B13"/>
    <mergeCell ref="C12:C13"/>
    <mergeCell ref="A1:I2"/>
  </mergeCells>
  <pageMargins left="0.25" right="0.25" top="0.75" bottom="0.75" header="0.3" footer="0.3"/>
  <pageSetup paperSize="9" scale="88" orientation="portrait"/>
  <headerFooter/>
  <rowBreaks count="1" manualBreakCount="1">
    <brk id="21" max="12" man="1"/>
  </rowBreaks>
  <ignoredErrors>
    <ignoredError sqref="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辅料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</cp:lastModifiedBy>
  <dcterms:created xsi:type="dcterms:W3CDTF">2015-06-05T18:17:00Z</dcterms:created>
  <cp:lastPrinted>2025-12-26T08:46:00Z</cp:lastPrinted>
  <dcterms:modified xsi:type="dcterms:W3CDTF">2026-02-06T11:16:04Z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F04A334B358746F2B31F165EC941769D_13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